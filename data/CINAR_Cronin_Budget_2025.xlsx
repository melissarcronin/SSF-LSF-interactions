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assd-my.sharepoint.com/personal/mcronin3_umassd_edu/Documents/Desktop/Research/Duke_high_level/Submission_Nature_Food/Github/SSF-LSF_interactions/data/"/>
    </mc:Choice>
  </mc:AlternateContent>
  <xr:revisionPtr revIDLastSave="0" documentId="8_{0CA7577D-1577-0E43-8D9C-079B4D369CF6}" xr6:coauthVersionLast="47" xr6:coauthVersionMax="47" xr10:uidLastSave="{00000000-0000-0000-0000-000000000000}"/>
  <bookViews>
    <workbookView xWindow="42280" yWindow="-240" windowWidth="18540" windowHeight="14820" xr2:uid="{00000000-000D-0000-FFFF-FFFF00000000}"/>
  </bookViews>
  <sheets>
    <sheet name="Budget Templat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C20" i="1"/>
  <c r="N17" i="1" l="1"/>
  <c r="N18" i="1"/>
  <c r="N13" i="1"/>
  <c r="N14" i="1"/>
  <c r="N45" i="1" l="1"/>
  <c r="N37" i="1" l="1"/>
  <c r="H49" i="1" l="1"/>
  <c r="J49" i="1"/>
  <c r="E29" i="1" l="1"/>
  <c r="F29" i="1"/>
  <c r="G29" i="1"/>
  <c r="I29" i="1"/>
  <c r="K29" i="1"/>
  <c r="C29" i="1"/>
  <c r="G74" i="1" l="1"/>
  <c r="G68" i="1"/>
  <c r="G61" i="1"/>
  <c r="G24" i="1" s="1"/>
  <c r="G34" i="1"/>
  <c r="I74" i="1"/>
  <c r="I68" i="1"/>
  <c r="I61" i="1"/>
  <c r="I24" i="1" s="1"/>
  <c r="I34" i="1"/>
  <c r="I76" i="1" l="1"/>
  <c r="I41" i="1" s="1"/>
  <c r="G76" i="1"/>
  <c r="G41" i="1" s="1"/>
  <c r="G43" i="1" s="1"/>
  <c r="G47" i="1" s="1"/>
  <c r="G49" i="1" s="1"/>
  <c r="I43" i="1"/>
  <c r="I47" i="1" s="1"/>
  <c r="I49" i="1" s="1"/>
  <c r="E68" i="1"/>
  <c r="E74" i="1"/>
  <c r="C68" i="1"/>
  <c r="C74" i="1"/>
  <c r="K68" i="1"/>
  <c r="K74" i="1"/>
  <c r="C61" i="1"/>
  <c r="E61" i="1"/>
  <c r="E34" i="1"/>
  <c r="K61" i="1"/>
  <c r="K24" i="1" s="1"/>
  <c r="K34" i="1"/>
  <c r="N39" i="1"/>
  <c r="N20" i="1"/>
  <c r="N22" i="1"/>
  <c r="N16" i="1"/>
  <c r="N12" i="1"/>
  <c r="N24" i="1" l="1"/>
  <c r="N61" i="1"/>
  <c r="E76" i="1"/>
  <c r="E41" i="1" s="1"/>
  <c r="E43" i="1" s="1"/>
  <c r="E47" i="1" s="1"/>
  <c r="E49" i="1" s="1"/>
  <c r="N68" i="1"/>
  <c r="K76" i="1"/>
  <c r="K41" i="1" s="1"/>
  <c r="N74" i="1"/>
  <c r="C76" i="1"/>
  <c r="C41" i="1" s="1"/>
  <c r="N29" i="1"/>
  <c r="N41" i="1" l="1"/>
  <c r="N43" i="1" s="1"/>
  <c r="N47" i="1" s="1"/>
  <c r="N76" i="1"/>
  <c r="C43" i="1"/>
  <c r="K43" i="1"/>
  <c r="N49" i="1" l="1"/>
  <c r="K47" i="1"/>
  <c r="K49" i="1" s="1"/>
  <c r="C47" i="1"/>
  <c r="C49" i="1" s="1"/>
</calcChain>
</file>

<file path=xl/sharedStrings.xml><?xml version="1.0" encoding="utf-8"?>
<sst xmlns="http://schemas.openxmlformats.org/spreadsheetml/2006/main" count="69" uniqueCount="53">
  <si>
    <t>BUDGET</t>
  </si>
  <si>
    <t>Year 1</t>
  </si>
  <si>
    <t>Year 2</t>
  </si>
  <si>
    <t>Year 3</t>
  </si>
  <si>
    <t xml:space="preserve">Start Date </t>
  </si>
  <si>
    <t>End Date</t>
  </si>
  <si>
    <t>Totals</t>
  </si>
  <si>
    <t>C. TRAVEL (SEE DETAIL)</t>
  </si>
  <si>
    <t>D.  EQUIPMENT</t>
  </si>
  <si>
    <t xml:space="preserve">     TOTAL EQUIPMENT</t>
  </si>
  <si>
    <t xml:space="preserve">E. SUPPLIES </t>
  </si>
  <si>
    <t xml:space="preserve">     TOTAL SUPPLIES</t>
  </si>
  <si>
    <t>F. CONTRACTUAL</t>
  </si>
  <si>
    <t>G. CONSTRUCTION</t>
  </si>
  <si>
    <t>I.   TOTAL DIRECT COSTS</t>
  </si>
  <si>
    <t>BUDGET DETAIL</t>
  </si>
  <si>
    <t>Total</t>
  </si>
  <si>
    <t xml:space="preserve">               Per Diem ? persons / ? days @ $?/day</t>
  </si>
  <si>
    <t xml:space="preserve">           Ground Transportation ? days ea @ $?/day</t>
  </si>
  <si>
    <t xml:space="preserve">     TOTAL TRAVEL</t>
  </si>
  <si>
    <t xml:space="preserve">     2. Publication Costs</t>
  </si>
  <si>
    <t xml:space="preserve">         b. Graphics Shop Services ? hours @ $?/hr</t>
  </si>
  <si>
    <t xml:space="preserve">         Total Publication Costs</t>
  </si>
  <si>
    <t xml:space="preserve">     6. Other</t>
  </si>
  <si>
    <t xml:space="preserve">         Total Other</t>
  </si>
  <si>
    <t xml:space="preserve">     TOTAL OTHER DIRECT COSTS</t>
  </si>
  <si>
    <t xml:space="preserve">H. OTHER DIRECT COSTS (SEE DETAIL) </t>
  </si>
  <si>
    <t>K.  TOTAL DIRECT AND INDIRECT COSTS</t>
  </si>
  <si>
    <t xml:space="preserve">1. Senior Personnel </t>
  </si>
  <si>
    <t>2. Other Personnel</t>
  </si>
  <si>
    <t>PERSONNEL</t>
  </si>
  <si>
    <t xml:space="preserve">A. DIRECT LABOR COSTS </t>
  </si>
  <si>
    <t>B. FRINGE BENEFITS</t>
  </si>
  <si>
    <t>Year 4</t>
  </si>
  <si>
    <t>Year 5</t>
  </si>
  <si>
    <t>C. TRAVEL</t>
  </si>
  <si>
    <t>H. OTHER DIRECT COSTS</t>
  </si>
  <si>
    <t>J. INDIRECT COSTS (round to nearest dollar)</t>
  </si>
  <si>
    <t xml:space="preserve">L. Amount of this request </t>
  </si>
  <si>
    <t>Months</t>
  </si>
  <si>
    <t>Salary</t>
  </si>
  <si>
    <t>Fringe</t>
  </si>
  <si>
    <t>Melissa Cronin</t>
  </si>
  <si>
    <t>University of Massachusetts Dartmouth, School for Marine Science and Technology</t>
  </si>
  <si>
    <t>Leaving the Coast Behind: Linking Coastal Housing Policy, Lobster Fisheries, and Ecosystem Change in Maine</t>
  </si>
  <si>
    <t>a. Melissa Cronin, Principal Investigator</t>
  </si>
  <si>
    <t xml:space="preserve">a. Graduate Student </t>
  </si>
  <si>
    <t>a. Field gear, recording equipment, camera, boots</t>
  </si>
  <si>
    <t xml:space="preserve">         a. 1 RT/yr to coastal Maine fishing villages</t>
  </si>
  <si>
    <t xml:space="preserve">     1. Domestic</t>
  </si>
  <si>
    <t xml:space="preserve">         a. Tuition</t>
  </si>
  <si>
    <t xml:space="preserve">         a. Article processing charge (flat rate)</t>
  </si>
  <si>
    <t>Period of Performance: 03/01/25 - 03/01/2028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</si>
</sst>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&quot;$&quot;* #,##0_);_(&quot;$&quot;* \(#,##0\);_(&quot;$&quot;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2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Continuous"/>
    </xf>
    <xf numFmtId="0" fontId="2" fillId="0" borderId="0" xfId="0" applyFont="1"/>
    <xf numFmtId="3" fontId="3" fillId="0" borderId="0" xfId="0" applyNumberFormat="1" applyFont="1"/>
    <xf numFmtId="164" fontId="3" fillId="0" borderId="0" xfId="0" applyNumberFormat="1" applyFont="1" applyAlignment="1">
      <alignment horizontal="center"/>
    </xf>
    <xf numFmtId="165" fontId="3" fillId="0" borderId="0" xfId="2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166" fontId="3" fillId="0" borderId="1" xfId="1" applyNumberFormat="1" applyFont="1" applyBorder="1" applyAlignment="1">
      <alignment horizontal="right"/>
    </xf>
    <xf numFmtId="166" fontId="3" fillId="0" borderId="0" xfId="1" applyNumberFormat="1" applyFont="1"/>
    <xf numFmtId="166" fontId="3" fillId="0" borderId="0" xfId="1" applyNumberFormat="1" applyFont="1" applyBorder="1"/>
    <xf numFmtId="166" fontId="2" fillId="0" borderId="1" xfId="1" applyNumberFormat="1" applyFont="1" applyBorder="1"/>
    <xf numFmtId="166" fontId="2" fillId="0" borderId="0" xfId="1" applyNumberFormat="1" applyFont="1"/>
    <xf numFmtId="166" fontId="2" fillId="0" borderId="1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right"/>
    </xf>
    <xf numFmtId="165" fontId="3" fillId="0" borderId="2" xfId="2" applyNumberFormat="1" applyFont="1" applyBorder="1"/>
    <xf numFmtId="165" fontId="3" fillId="0" borderId="0" xfId="2" applyNumberFormat="1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4"/>
    </xf>
    <xf numFmtId="166" fontId="3" fillId="0" borderId="0" xfId="0" applyNumberFormat="1" applyFont="1"/>
    <xf numFmtId="166" fontId="3" fillId="0" borderId="1" xfId="1" applyNumberFormat="1" applyFont="1" applyBorder="1"/>
    <xf numFmtId="165" fontId="3" fillId="0" borderId="0" xfId="0" applyNumberFormat="1" applyFont="1"/>
    <xf numFmtId="0" fontId="5" fillId="0" borderId="0" xfId="0" applyFont="1" applyAlignment="1">
      <alignment horizontal="centerContinuous"/>
    </xf>
    <xf numFmtId="165" fontId="3" fillId="0" borderId="0" xfId="1" applyNumberFormat="1" applyFont="1" applyAlignment="1">
      <alignment horizontal="right"/>
    </xf>
    <xf numFmtId="165" fontId="3" fillId="0" borderId="0" xfId="1" applyNumberFormat="1" applyFont="1"/>
    <xf numFmtId="165" fontId="3" fillId="0" borderId="0" xfId="1" applyNumberFormat="1" applyFont="1" applyBorder="1"/>
    <xf numFmtId="165" fontId="3" fillId="0" borderId="0" xfId="1" applyNumberFormat="1" applyFont="1" applyBorder="1" applyAlignment="1">
      <alignment horizontal="right"/>
    </xf>
    <xf numFmtId="165" fontId="3" fillId="0" borderId="0" xfId="2" applyNumberFormat="1" applyFont="1" applyBorder="1"/>
    <xf numFmtId="165" fontId="3" fillId="0" borderId="0" xfId="2" applyNumberFormat="1" applyFont="1" applyBorder="1" applyAlignment="1">
      <alignment horizontal="right"/>
    </xf>
    <xf numFmtId="165" fontId="3" fillId="0" borderId="3" xfId="1" applyNumberFormat="1" applyFont="1" applyBorder="1"/>
    <xf numFmtId="165" fontId="3" fillId="0" borderId="3" xfId="1" applyNumberFormat="1" applyFont="1" applyBorder="1" applyAlignment="1">
      <alignment horizontal="right"/>
    </xf>
    <xf numFmtId="44" fontId="3" fillId="0" borderId="0" xfId="2" applyFont="1" applyBorder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centerContinuous" wrapText="1"/>
    </xf>
    <xf numFmtId="0" fontId="5" fillId="0" borderId="0" xfId="0" applyFont="1" applyAlignment="1">
      <alignment horizontal="left"/>
    </xf>
    <xf numFmtId="165" fontId="3" fillId="0" borderId="0" xfId="2" applyNumberFormat="1" applyFont="1" applyAlignment="1">
      <alignment horizontal="center"/>
    </xf>
    <xf numFmtId="165" fontId="3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left" inden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topLeftCell="A55" zoomScaleNormal="60" zoomScaleSheetLayoutView="110" workbookViewId="0">
      <selection activeCell="A7" sqref="A7"/>
    </sheetView>
  </sheetViews>
  <sheetFormatPr baseColWidth="10" defaultColWidth="9.1640625" defaultRowHeight="12" x14ac:dyDescent="0.15"/>
  <cols>
    <col min="1" max="1" width="49.5" style="3" customWidth="1"/>
    <col min="2" max="2" width="10.6640625" style="3" customWidth="1"/>
    <col min="3" max="3" width="8.6640625" style="3" customWidth="1"/>
    <col min="4" max="4" width="2.5" style="3" customWidth="1"/>
    <col min="5" max="5" width="11" style="3" bestFit="1" customWidth="1"/>
    <col min="6" max="6" width="1.6640625" style="3" customWidth="1"/>
    <col min="7" max="7" width="9.1640625" style="3"/>
    <col min="8" max="8" width="1.6640625" style="3" customWidth="1"/>
    <col min="9" max="9" width="9.1640625" style="3"/>
    <col min="10" max="10" width="1.6640625" style="3" customWidth="1"/>
    <col min="11" max="11" width="9.1640625" style="3"/>
    <col min="12" max="12" width="2.83203125" style="3" customWidth="1"/>
    <col min="13" max="13" width="2.5" style="3" customWidth="1"/>
    <col min="14" max="14" width="10" style="3" bestFit="1" customWidth="1"/>
    <col min="15" max="15" width="2.83203125" style="3" customWidth="1"/>
    <col min="16" max="16384" width="9.1640625" style="3"/>
  </cols>
  <sheetData>
    <row r="1" spans="1:14" ht="36" customHeight="1" x14ac:dyDescent="0.2">
      <c r="A1" s="40" t="s">
        <v>44</v>
      </c>
      <c r="B1" s="2"/>
      <c r="C1" s="2"/>
      <c r="D1" s="2"/>
    </row>
    <row r="2" spans="1:14" ht="16" x14ac:dyDescent="0.2">
      <c r="A2" s="29" t="s">
        <v>42</v>
      </c>
      <c r="B2" s="2"/>
      <c r="C2" s="2"/>
      <c r="D2" s="2"/>
    </row>
    <row r="3" spans="1:14" ht="16" x14ac:dyDescent="0.2">
      <c r="A3" s="41" t="s">
        <v>43</v>
      </c>
      <c r="B3" s="2"/>
      <c r="C3" s="2"/>
      <c r="D3" s="2"/>
    </row>
    <row r="4" spans="1:14" ht="16" x14ac:dyDescent="0.2">
      <c r="A4" s="29" t="s">
        <v>52</v>
      </c>
      <c r="B4" s="2"/>
      <c r="C4" s="2"/>
      <c r="D4" s="2"/>
    </row>
    <row r="5" spans="1:14" ht="16" x14ac:dyDescent="0.2">
      <c r="A5" s="29" t="s">
        <v>0</v>
      </c>
      <c r="B5" s="2"/>
      <c r="C5" s="2"/>
      <c r="D5" s="2"/>
    </row>
    <row r="6" spans="1:14" x14ac:dyDescent="0.15">
      <c r="A6" s="2"/>
      <c r="B6" s="2"/>
      <c r="C6" s="4" t="s">
        <v>1</v>
      </c>
      <c r="D6" s="2"/>
      <c r="E6" s="4" t="s">
        <v>2</v>
      </c>
      <c r="F6" s="2"/>
      <c r="G6" s="4" t="s">
        <v>3</v>
      </c>
      <c r="H6" s="2"/>
      <c r="I6" s="4" t="s">
        <v>33</v>
      </c>
      <c r="J6" s="2"/>
      <c r="K6" s="4" t="s">
        <v>34</v>
      </c>
    </row>
    <row r="7" spans="1:14" x14ac:dyDescent="0.15">
      <c r="C7" s="5" t="s">
        <v>4</v>
      </c>
      <c r="D7" s="6"/>
      <c r="E7" s="5" t="s">
        <v>4</v>
      </c>
      <c r="F7" s="6"/>
      <c r="G7" s="5" t="s">
        <v>4</v>
      </c>
      <c r="H7" s="6"/>
      <c r="I7" s="5" t="s">
        <v>4</v>
      </c>
      <c r="J7" s="6"/>
      <c r="K7" s="5" t="s">
        <v>4</v>
      </c>
      <c r="L7" s="6"/>
      <c r="M7" s="6"/>
    </row>
    <row r="8" spans="1:14" x14ac:dyDescent="0.15">
      <c r="C8" s="5" t="s">
        <v>5</v>
      </c>
      <c r="D8" s="6"/>
      <c r="E8" s="5" t="s">
        <v>5</v>
      </c>
      <c r="F8" s="6"/>
      <c r="G8" s="5" t="s">
        <v>5</v>
      </c>
      <c r="H8" s="6"/>
      <c r="I8" s="5" t="s">
        <v>5</v>
      </c>
      <c r="J8" s="6"/>
      <c r="K8" s="5" t="s">
        <v>5</v>
      </c>
      <c r="L8" s="6"/>
      <c r="M8" s="6"/>
    </row>
    <row r="9" spans="1:14" x14ac:dyDescent="0.1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4" t="s">
        <v>6</v>
      </c>
    </row>
    <row r="10" spans="1:14" x14ac:dyDescent="0.15">
      <c r="A10" s="9" t="s">
        <v>30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15">
      <c r="A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15">
      <c r="A12" s="3" t="s">
        <v>45</v>
      </c>
      <c r="B12" s="3" t="s">
        <v>39</v>
      </c>
      <c r="C12" s="11">
        <v>1</v>
      </c>
      <c r="D12" s="11"/>
      <c r="E12" s="11">
        <v>0.5</v>
      </c>
      <c r="F12" s="11"/>
      <c r="G12" s="11">
        <v>0</v>
      </c>
      <c r="H12" s="11"/>
      <c r="I12" s="11">
        <v>0</v>
      </c>
      <c r="J12" s="11"/>
      <c r="K12" s="11">
        <v>0</v>
      </c>
      <c r="L12" s="11"/>
      <c r="M12" s="11"/>
      <c r="N12" s="11">
        <f>SUM(C12:M12)</f>
        <v>1.5</v>
      </c>
    </row>
    <row r="13" spans="1:14" x14ac:dyDescent="0.15">
      <c r="B13" s="3" t="s">
        <v>40</v>
      </c>
      <c r="C13" s="42">
        <v>9222</v>
      </c>
      <c r="D13" s="42"/>
      <c r="E13" s="42">
        <v>4749</v>
      </c>
      <c r="F13" s="11"/>
      <c r="G13" s="11"/>
      <c r="H13" s="11"/>
      <c r="I13" s="11"/>
      <c r="J13" s="11"/>
      <c r="K13" s="11"/>
      <c r="L13" s="11"/>
      <c r="M13" s="11"/>
      <c r="N13" s="11">
        <f t="shared" ref="N13:N14" si="0">SUM(C13:M13)</f>
        <v>13971</v>
      </c>
    </row>
    <row r="14" spans="1:14" x14ac:dyDescent="0.15">
      <c r="B14" s="3" t="s">
        <v>41</v>
      </c>
      <c r="C14" s="42">
        <v>149</v>
      </c>
      <c r="D14" s="42"/>
      <c r="E14" s="42">
        <v>77</v>
      </c>
      <c r="F14" s="11"/>
      <c r="G14" s="11"/>
      <c r="H14" s="11"/>
      <c r="I14" s="11"/>
      <c r="J14" s="11"/>
      <c r="K14" s="11"/>
      <c r="L14" s="11"/>
      <c r="M14" s="11"/>
      <c r="N14" s="11">
        <f t="shared" si="0"/>
        <v>226</v>
      </c>
    </row>
    <row r="15" spans="1:14" x14ac:dyDescent="0.15">
      <c r="A15" s="9" t="s">
        <v>29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15">
      <c r="A16" s="3" t="s">
        <v>46</v>
      </c>
      <c r="B16" s="3" t="s">
        <v>39</v>
      </c>
      <c r="C16" s="11">
        <v>12</v>
      </c>
      <c r="D16" s="11"/>
      <c r="E16" s="11">
        <v>6</v>
      </c>
      <c r="F16" s="11"/>
      <c r="G16" s="11">
        <v>0</v>
      </c>
      <c r="H16" s="11"/>
      <c r="I16" s="11">
        <v>0</v>
      </c>
      <c r="J16" s="11"/>
      <c r="K16" s="11">
        <v>0</v>
      </c>
      <c r="L16" s="11"/>
      <c r="M16" s="11"/>
      <c r="N16" s="11">
        <f>SUM(C16:M16)</f>
        <v>18</v>
      </c>
    </row>
    <row r="17" spans="1:14" x14ac:dyDescent="0.15">
      <c r="B17" s="3" t="s">
        <v>40</v>
      </c>
      <c r="C17" s="34">
        <v>34675</v>
      </c>
      <c r="D17" s="42"/>
      <c r="E17" s="42">
        <v>17858</v>
      </c>
      <c r="F17" s="11"/>
      <c r="G17" s="11"/>
      <c r="H17" s="11"/>
      <c r="I17" s="11"/>
      <c r="J17" s="11"/>
      <c r="K17" s="11"/>
      <c r="L17" s="11"/>
      <c r="M17" s="11"/>
      <c r="N17" s="11">
        <f t="shared" ref="N17:N18" si="1">SUM(C17:M17)</f>
        <v>52533</v>
      </c>
    </row>
    <row r="18" spans="1:14" x14ac:dyDescent="0.15">
      <c r="B18" s="3" t="s">
        <v>41</v>
      </c>
      <c r="C18" s="43">
        <v>140</v>
      </c>
      <c r="D18" s="43"/>
      <c r="E18" s="43">
        <v>36</v>
      </c>
      <c r="F18" s="11"/>
      <c r="G18" s="11"/>
      <c r="H18" s="11"/>
      <c r="I18" s="11"/>
      <c r="J18" s="11"/>
      <c r="K18" s="11"/>
      <c r="L18" s="11"/>
      <c r="M18" s="11"/>
      <c r="N18" s="11">
        <f t="shared" si="1"/>
        <v>176</v>
      </c>
    </row>
    <row r="19" spans="1:14" x14ac:dyDescent="0.1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15">
      <c r="A20" s="9" t="s">
        <v>31</v>
      </c>
      <c r="C20" s="12">
        <f>C13+C17</f>
        <v>43897</v>
      </c>
      <c r="D20" s="11"/>
      <c r="E20" s="12">
        <f>E17+E13</f>
        <v>22607</v>
      </c>
      <c r="F20" s="11"/>
      <c r="G20" s="12">
        <v>0</v>
      </c>
      <c r="H20" s="11"/>
      <c r="I20" s="12">
        <v>0</v>
      </c>
      <c r="J20" s="11"/>
      <c r="K20" s="12">
        <v>0</v>
      </c>
      <c r="L20" s="11"/>
      <c r="M20" s="11"/>
      <c r="N20" s="12">
        <f>SUM(C20:M20)</f>
        <v>66504</v>
      </c>
    </row>
    <row r="21" spans="1:14" x14ac:dyDescent="0.15">
      <c r="A21" s="9"/>
      <c r="C21" s="12"/>
      <c r="D21" s="11"/>
      <c r="E21" s="12"/>
      <c r="F21" s="11"/>
      <c r="G21" s="12"/>
      <c r="H21" s="11"/>
      <c r="I21" s="12"/>
      <c r="J21" s="11"/>
      <c r="K21" s="12"/>
      <c r="L21" s="11"/>
      <c r="M21" s="11"/>
      <c r="N21" s="12"/>
    </row>
    <row r="22" spans="1:14" x14ac:dyDescent="0.15">
      <c r="A22" s="9" t="s">
        <v>32</v>
      </c>
      <c r="C22" s="12">
        <v>1685</v>
      </c>
      <c r="D22" s="12"/>
      <c r="E22" s="12">
        <v>832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/>
      <c r="N22" s="12">
        <f>SUM(C22:M22)</f>
        <v>2517</v>
      </c>
    </row>
    <row r="23" spans="1:14" x14ac:dyDescent="0.15">
      <c r="A23" s="9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15">
      <c r="A24" s="9" t="s">
        <v>7</v>
      </c>
      <c r="C24" s="12">
        <v>2000</v>
      </c>
      <c r="D24" s="12"/>
      <c r="E24" s="12">
        <v>1030</v>
      </c>
      <c r="F24" s="12"/>
      <c r="G24" s="12">
        <f>SUM(G61)</f>
        <v>0</v>
      </c>
      <c r="H24" s="12"/>
      <c r="I24" s="12">
        <f>SUM(I61)</f>
        <v>0</v>
      </c>
      <c r="J24" s="12"/>
      <c r="K24" s="12">
        <f>SUM(K61)</f>
        <v>0</v>
      </c>
      <c r="L24" s="12"/>
      <c r="M24" s="12"/>
      <c r="N24" s="12">
        <f>SUM(C24:M24)</f>
        <v>3030</v>
      </c>
    </row>
    <row r="25" spans="1:14" x14ac:dyDescent="0.15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15">
      <c r="A26" s="9" t="s">
        <v>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15">
      <c r="C27" s="30">
        <v>0</v>
      </c>
      <c r="D27" s="30"/>
      <c r="E27" s="30">
        <v>0</v>
      </c>
      <c r="F27" s="30"/>
      <c r="G27" s="30">
        <v>0</v>
      </c>
      <c r="H27" s="30"/>
      <c r="I27" s="30">
        <v>0</v>
      </c>
      <c r="J27" s="30"/>
      <c r="K27" s="30">
        <v>0</v>
      </c>
      <c r="L27" s="13"/>
      <c r="M27" s="13"/>
      <c r="N27" s="13"/>
    </row>
    <row r="28" spans="1:14" x14ac:dyDescent="0.15">
      <c r="C28" s="14"/>
      <c r="D28" s="14"/>
      <c r="E28" s="14"/>
      <c r="F28" s="14"/>
      <c r="G28" s="14"/>
      <c r="H28" s="14"/>
      <c r="I28" s="14"/>
      <c r="J28" s="14"/>
      <c r="K28" s="14"/>
      <c r="L28" s="13"/>
      <c r="M28" s="13"/>
      <c r="N28" s="14"/>
    </row>
    <row r="29" spans="1:14" x14ac:dyDescent="0.15">
      <c r="A29" s="9" t="s">
        <v>9</v>
      </c>
      <c r="C29" s="30">
        <f>SUM(C27:C28)</f>
        <v>0</v>
      </c>
      <c r="D29" s="30"/>
      <c r="E29" s="30">
        <f t="shared" ref="E29:K29" si="2">SUM(E27:E28)</f>
        <v>0</v>
      </c>
      <c r="F29" s="30">
        <f t="shared" si="2"/>
        <v>0</v>
      </c>
      <c r="G29" s="30">
        <f t="shared" si="2"/>
        <v>0</v>
      </c>
      <c r="H29" s="30"/>
      <c r="I29" s="30">
        <f t="shared" si="2"/>
        <v>0</v>
      </c>
      <c r="J29" s="30"/>
      <c r="K29" s="30">
        <f t="shared" si="2"/>
        <v>0</v>
      </c>
      <c r="L29" s="30"/>
      <c r="M29" s="30"/>
      <c r="N29" s="30">
        <f>SUM(C29:M29)</f>
        <v>0</v>
      </c>
    </row>
    <row r="30" spans="1:14" x14ac:dyDescent="0.15">
      <c r="A30" s="9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x14ac:dyDescent="0.15">
      <c r="A31" s="9" t="s">
        <v>10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15">
      <c r="A32" s="3" t="s">
        <v>47</v>
      </c>
      <c r="C32" s="30">
        <v>2000</v>
      </c>
      <c r="D32" s="30"/>
      <c r="E32" s="30">
        <v>0</v>
      </c>
      <c r="F32" s="30"/>
      <c r="G32" s="30">
        <v>0</v>
      </c>
      <c r="H32" s="30"/>
      <c r="I32" s="30">
        <v>0</v>
      </c>
      <c r="J32" s="30"/>
      <c r="K32" s="30">
        <v>0</v>
      </c>
      <c r="L32" s="13"/>
      <c r="M32" s="13"/>
      <c r="N32" s="13"/>
    </row>
    <row r="33" spans="1:14" x14ac:dyDescent="0.15">
      <c r="C33" s="14">
        <v>0</v>
      </c>
      <c r="D33" s="13"/>
      <c r="E33" s="14">
        <v>0</v>
      </c>
      <c r="F33" s="13"/>
      <c r="G33" s="14">
        <v>0</v>
      </c>
      <c r="H33" s="13"/>
      <c r="I33" s="14">
        <v>0</v>
      </c>
      <c r="J33" s="13"/>
      <c r="K33" s="14">
        <v>0</v>
      </c>
      <c r="L33" s="13"/>
      <c r="M33" s="13"/>
      <c r="N33" s="31"/>
    </row>
    <row r="34" spans="1:14" x14ac:dyDescent="0.15">
      <c r="A34" s="9" t="s">
        <v>11</v>
      </c>
      <c r="C34" s="31"/>
      <c r="D34" s="31"/>
      <c r="E34" s="31">
        <f>(E32+E33)</f>
        <v>0</v>
      </c>
      <c r="F34" s="31"/>
      <c r="G34" s="31">
        <f>(G32+G33)</f>
        <v>0</v>
      </c>
      <c r="H34" s="31"/>
      <c r="I34" s="31">
        <f>(I32+I33)</f>
        <v>0</v>
      </c>
      <c r="J34" s="31"/>
      <c r="K34" s="31">
        <f>SUM(K32:K33)</f>
        <v>0</v>
      </c>
      <c r="L34" s="31"/>
      <c r="M34" s="31"/>
      <c r="N34" s="30">
        <v>2000</v>
      </c>
    </row>
    <row r="35" spans="1:14" x14ac:dyDescent="0.15">
      <c r="A35" s="9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3"/>
    </row>
    <row r="36" spans="1:14" x14ac:dyDescent="0.15">
      <c r="A36" s="9" t="s">
        <v>12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3"/>
    </row>
    <row r="37" spans="1:14" x14ac:dyDescent="0.15">
      <c r="C37" s="31">
        <v>0</v>
      </c>
      <c r="D37" s="31"/>
      <c r="E37" s="31">
        <v>0</v>
      </c>
      <c r="F37" s="31"/>
      <c r="G37" s="31">
        <v>0</v>
      </c>
      <c r="H37" s="31"/>
      <c r="I37" s="31">
        <v>0</v>
      </c>
      <c r="J37" s="31"/>
      <c r="K37" s="31">
        <v>0</v>
      </c>
      <c r="L37" s="31"/>
      <c r="M37" s="31"/>
      <c r="N37" s="30">
        <f>SUM(C37:M37)</f>
        <v>0</v>
      </c>
    </row>
    <row r="38" spans="1:14" x14ac:dyDescent="0.15">
      <c r="A38" s="9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0"/>
    </row>
    <row r="39" spans="1:14" x14ac:dyDescent="0.15">
      <c r="A39" s="9" t="s">
        <v>13</v>
      </c>
      <c r="C39" s="31">
        <v>0</v>
      </c>
      <c r="D39" s="31"/>
      <c r="E39" s="31">
        <v>0</v>
      </c>
      <c r="F39" s="31"/>
      <c r="G39" s="31">
        <v>0</v>
      </c>
      <c r="H39" s="31"/>
      <c r="I39" s="31">
        <v>0</v>
      </c>
      <c r="J39" s="31"/>
      <c r="K39" s="31">
        <v>0</v>
      </c>
      <c r="L39" s="31"/>
      <c r="M39" s="31"/>
      <c r="N39" s="30">
        <f>SUM(C39+E39+K39)</f>
        <v>0</v>
      </c>
    </row>
    <row r="40" spans="1:14" x14ac:dyDescent="0.15"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spans="1:14" x14ac:dyDescent="0.15">
      <c r="A41" s="9" t="s">
        <v>26</v>
      </c>
      <c r="C41" s="32">
        <f>SUM(C76)</f>
        <v>10830</v>
      </c>
      <c r="D41" s="31"/>
      <c r="E41" s="32">
        <f>SUM(E76)</f>
        <v>13830</v>
      </c>
      <c r="F41" s="31"/>
      <c r="G41" s="32">
        <f>SUM(G76)</f>
        <v>0</v>
      </c>
      <c r="H41" s="31"/>
      <c r="I41" s="32">
        <f>SUM(I76)</f>
        <v>0</v>
      </c>
      <c r="J41" s="31"/>
      <c r="K41" s="32">
        <f>SUM(K76)</f>
        <v>0</v>
      </c>
      <c r="L41" s="31"/>
      <c r="M41" s="31"/>
      <c r="N41" s="31">
        <f>SUM(C41:M41)</f>
        <v>24660</v>
      </c>
    </row>
    <row r="42" spans="1:14" x14ac:dyDescent="0.15">
      <c r="C42" s="17"/>
      <c r="D42" s="18"/>
      <c r="E42" s="17"/>
      <c r="F42" s="18"/>
      <c r="G42" s="17"/>
      <c r="H42" s="18"/>
      <c r="I42" s="17"/>
      <c r="J42" s="18"/>
      <c r="K42" s="17"/>
      <c r="L42" s="18"/>
      <c r="M42" s="18"/>
      <c r="N42" s="19"/>
    </row>
    <row r="43" spans="1:14" x14ac:dyDescent="0.15">
      <c r="A43" s="9" t="s">
        <v>14</v>
      </c>
      <c r="C43" s="31">
        <f>SUM(C20+C22+C24+C29+C34+C37+C39+C41)</f>
        <v>58412</v>
      </c>
      <c r="D43" s="31"/>
      <c r="E43" s="31">
        <f>SUM(E20+E22+E24+E29+E34+E37+E39+E41)</f>
        <v>38299</v>
      </c>
      <c r="F43" s="31"/>
      <c r="G43" s="31">
        <f>SUM(G20+G22+G24+G29+G34+G37+G39+G41)</f>
        <v>0</v>
      </c>
      <c r="H43" s="31"/>
      <c r="I43" s="31">
        <f>SUM(I20+I22+I24+I29+I34+I37+I39+I41)</f>
        <v>0</v>
      </c>
      <c r="J43" s="31"/>
      <c r="K43" s="31">
        <f>SUM(K20+K22+K24+K29+K34+K37+K39+K40+K41)</f>
        <v>0</v>
      </c>
      <c r="L43" s="31"/>
      <c r="M43" s="31"/>
      <c r="N43" s="30">
        <f>SUM(N20:N41)</f>
        <v>98711</v>
      </c>
    </row>
    <row r="44" spans="1:14" x14ac:dyDescent="0.15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 x14ac:dyDescent="0.15">
      <c r="A45" s="9" t="s">
        <v>37</v>
      </c>
      <c r="C45" s="32">
        <v>29253</v>
      </c>
      <c r="D45" s="32"/>
      <c r="E45" s="32">
        <v>16206</v>
      </c>
      <c r="F45" s="32"/>
      <c r="G45" s="32">
        <v>0</v>
      </c>
      <c r="H45" s="32"/>
      <c r="I45" s="32">
        <v>0</v>
      </c>
      <c r="J45" s="32"/>
      <c r="K45" s="32">
        <v>0</v>
      </c>
      <c r="L45" s="32"/>
      <c r="M45" s="32"/>
      <c r="N45" s="33">
        <f>ROUNDUP(SUM(C45:M45),0)</f>
        <v>45459</v>
      </c>
    </row>
    <row r="46" spans="1:14" x14ac:dyDescent="0.15">
      <c r="A46" s="9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20"/>
    </row>
    <row r="47" spans="1:14" ht="13" thickBot="1" x14ac:dyDescent="0.2">
      <c r="A47" s="9" t="s">
        <v>27</v>
      </c>
      <c r="C47" s="21">
        <f>C43+C45</f>
        <v>87665</v>
      </c>
      <c r="D47" s="34"/>
      <c r="E47" s="21">
        <f t="shared" ref="E47:K47" si="3">E43+E45</f>
        <v>54505</v>
      </c>
      <c r="F47" s="21"/>
      <c r="G47" s="21">
        <f t="shared" si="3"/>
        <v>0</v>
      </c>
      <c r="H47" s="21"/>
      <c r="I47" s="21">
        <f t="shared" si="3"/>
        <v>0</v>
      </c>
      <c r="J47" s="21"/>
      <c r="K47" s="21">
        <f t="shared" si="3"/>
        <v>0</v>
      </c>
      <c r="L47" s="34"/>
      <c r="M47" s="34"/>
      <c r="N47" s="21">
        <f>SUM(N43+N45)</f>
        <v>144170</v>
      </c>
    </row>
    <row r="48" spans="1:14" ht="13" thickTop="1" x14ac:dyDescent="0.15">
      <c r="A48" s="9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5"/>
      <c r="N48" s="20"/>
    </row>
    <row r="49" spans="1:14" x14ac:dyDescent="0.15">
      <c r="A49" s="9" t="s">
        <v>38</v>
      </c>
      <c r="C49" s="28">
        <f>C47</f>
        <v>87665</v>
      </c>
      <c r="D49" s="28"/>
      <c r="E49" s="28">
        <f t="shared" ref="E49:K49" si="4">E47</f>
        <v>54505</v>
      </c>
      <c r="F49" s="28"/>
      <c r="G49" s="28">
        <f t="shared" si="4"/>
        <v>0</v>
      </c>
      <c r="H49" s="28">
        <f t="shared" si="4"/>
        <v>0</v>
      </c>
      <c r="I49" s="28">
        <f t="shared" si="4"/>
        <v>0</v>
      </c>
      <c r="J49" s="28">
        <f t="shared" si="4"/>
        <v>0</v>
      </c>
      <c r="K49" s="28">
        <f t="shared" si="4"/>
        <v>0</v>
      </c>
      <c r="N49" s="28">
        <f>N47</f>
        <v>144170</v>
      </c>
    </row>
    <row r="50" spans="1:14" x14ac:dyDescent="0.15">
      <c r="A50" s="9"/>
      <c r="C50" s="28"/>
      <c r="D50" s="28"/>
      <c r="E50" s="28"/>
      <c r="F50" s="28"/>
      <c r="G50" s="28"/>
      <c r="H50" s="28"/>
      <c r="I50" s="28"/>
      <c r="J50" s="28"/>
      <c r="K50" s="28"/>
      <c r="N50" s="28"/>
    </row>
    <row r="51" spans="1:14" x14ac:dyDescent="0.15">
      <c r="A51" s="39"/>
      <c r="C51" s="28"/>
      <c r="D51" s="28"/>
      <c r="E51" s="28"/>
      <c r="F51" s="28"/>
      <c r="G51" s="28"/>
      <c r="H51" s="28"/>
      <c r="I51" s="28"/>
      <c r="J51" s="28"/>
      <c r="K51" s="28"/>
      <c r="N51" s="28"/>
    </row>
    <row r="52" spans="1:14" x14ac:dyDescent="0.1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x14ac:dyDescent="0.15">
      <c r="A53" s="1" t="s">
        <v>15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3"/>
    </row>
    <row r="54" spans="1:14" x14ac:dyDescent="0.15">
      <c r="A54" s="1"/>
      <c r="B54" s="1"/>
      <c r="C54" s="4" t="s">
        <v>1</v>
      </c>
      <c r="D54" s="1"/>
      <c r="E54" s="4" t="s">
        <v>2</v>
      </c>
      <c r="F54" s="1"/>
      <c r="G54" s="4" t="s">
        <v>3</v>
      </c>
      <c r="H54" s="1"/>
      <c r="I54" s="4" t="s">
        <v>33</v>
      </c>
      <c r="J54" s="1"/>
      <c r="K54" s="4" t="s">
        <v>34</v>
      </c>
      <c r="L54" s="1"/>
      <c r="M54" s="1"/>
      <c r="N54" s="4" t="s">
        <v>16</v>
      </c>
    </row>
    <row r="55" spans="1:14" x14ac:dyDescent="0.15">
      <c r="A55" s="9" t="s">
        <v>35</v>
      </c>
      <c r="C55" s="15"/>
      <c r="E55" s="15"/>
      <c r="G55" s="15"/>
      <c r="I55" s="15"/>
      <c r="K55" s="15"/>
      <c r="N55" s="24"/>
    </row>
    <row r="56" spans="1:14" x14ac:dyDescent="0.15">
      <c r="A56" s="3" t="s">
        <v>49</v>
      </c>
    </row>
    <row r="57" spans="1:14" x14ac:dyDescent="0.15">
      <c r="A57" s="3" t="s">
        <v>48</v>
      </c>
      <c r="B57" s="25"/>
      <c r="C57" s="15">
        <v>2000</v>
      </c>
      <c r="D57" s="15"/>
      <c r="E57" s="15">
        <v>1030</v>
      </c>
      <c r="F57" s="15"/>
      <c r="G57" s="15">
        <v>0</v>
      </c>
      <c r="H57" s="15"/>
      <c r="I57" s="15">
        <v>0</v>
      </c>
      <c r="J57" s="15"/>
      <c r="K57" s="15">
        <v>0</v>
      </c>
      <c r="L57" s="15"/>
      <c r="M57" s="15"/>
      <c r="N57" s="15"/>
    </row>
    <row r="58" spans="1:14" x14ac:dyDescent="0.15">
      <c r="A58" s="3" t="s">
        <v>17</v>
      </c>
      <c r="C58" s="26">
        <v>0</v>
      </c>
      <c r="D58" s="15"/>
      <c r="E58" s="26">
        <v>0</v>
      </c>
      <c r="F58" s="15"/>
      <c r="G58" s="26">
        <v>0</v>
      </c>
      <c r="H58" s="15"/>
      <c r="I58" s="26">
        <v>0</v>
      </c>
      <c r="J58" s="15"/>
      <c r="K58" s="26">
        <v>0</v>
      </c>
      <c r="L58" s="15"/>
      <c r="M58" s="15"/>
      <c r="N58" s="15"/>
    </row>
    <row r="59" spans="1:14" x14ac:dyDescent="0.15">
      <c r="A59" s="44" t="s">
        <v>18</v>
      </c>
      <c r="C59" s="16">
        <v>0</v>
      </c>
      <c r="D59" s="15"/>
      <c r="E59" s="16">
        <v>0</v>
      </c>
      <c r="F59" s="15"/>
      <c r="G59" s="16">
        <v>0</v>
      </c>
      <c r="H59" s="15"/>
      <c r="I59" s="16">
        <v>0</v>
      </c>
      <c r="J59" s="15"/>
      <c r="K59" s="16">
        <v>0</v>
      </c>
      <c r="L59" s="15"/>
      <c r="M59" s="15"/>
      <c r="N59" s="15"/>
    </row>
    <row r="60" spans="1:14" x14ac:dyDescent="0.15">
      <c r="C60" s="27"/>
      <c r="D60" s="15"/>
      <c r="E60" s="27"/>
      <c r="F60" s="15"/>
      <c r="G60" s="27"/>
      <c r="H60" s="15"/>
      <c r="I60" s="27"/>
      <c r="J60" s="15"/>
      <c r="K60" s="27"/>
      <c r="L60" s="15"/>
      <c r="M60" s="15"/>
      <c r="N60" s="27"/>
    </row>
    <row r="61" spans="1:14" x14ac:dyDescent="0.15">
      <c r="A61" s="9" t="s">
        <v>19</v>
      </c>
      <c r="C61" s="22">
        <f>SUM(C57:C60)</f>
        <v>2000</v>
      </c>
      <c r="D61" s="31"/>
      <c r="E61" s="22">
        <f>SUM(E57:E60)</f>
        <v>1030</v>
      </c>
      <c r="F61" s="31"/>
      <c r="G61" s="22">
        <f>SUM(G57:G60)</f>
        <v>0</v>
      </c>
      <c r="H61" s="31"/>
      <c r="I61" s="22">
        <f>SUM(I57:I60)</f>
        <v>0</v>
      </c>
      <c r="J61" s="31"/>
      <c r="K61" s="22">
        <f>SUM(K57:K60)</f>
        <v>0</v>
      </c>
      <c r="L61" s="15"/>
      <c r="M61" s="15"/>
      <c r="N61" s="22">
        <f>SUM(C61:L61)</f>
        <v>3030</v>
      </c>
    </row>
    <row r="62" spans="1:14" x14ac:dyDescent="0.15"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0"/>
    </row>
    <row r="63" spans="1:14" x14ac:dyDescent="0.15"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20"/>
    </row>
    <row r="64" spans="1:14" x14ac:dyDescent="0.15">
      <c r="A64" s="9" t="s">
        <v>36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20"/>
    </row>
    <row r="65" spans="1:14" x14ac:dyDescent="0.15">
      <c r="A65" s="3" t="s">
        <v>20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0"/>
    </row>
    <row r="66" spans="1:14" x14ac:dyDescent="0.15">
      <c r="A66" s="3" t="s">
        <v>51</v>
      </c>
      <c r="C66" s="15">
        <v>0</v>
      </c>
      <c r="D66" s="15"/>
      <c r="E66" s="15">
        <v>3000</v>
      </c>
      <c r="F66" s="15"/>
      <c r="G66" s="15">
        <v>0</v>
      </c>
      <c r="H66" s="15"/>
      <c r="I66" s="15">
        <v>0</v>
      </c>
      <c r="J66" s="15"/>
      <c r="K66" s="15">
        <v>0</v>
      </c>
      <c r="L66" s="15"/>
      <c r="M66" s="15"/>
      <c r="N66" s="20"/>
    </row>
    <row r="67" spans="1:14" x14ac:dyDescent="0.15">
      <c r="A67" s="3" t="s">
        <v>21</v>
      </c>
      <c r="C67" s="27">
        <v>0</v>
      </c>
      <c r="D67" s="16"/>
      <c r="E67" s="27">
        <v>0</v>
      </c>
      <c r="F67" s="16"/>
      <c r="G67" s="27">
        <v>0</v>
      </c>
      <c r="H67" s="16"/>
      <c r="I67" s="27">
        <v>0</v>
      </c>
      <c r="J67" s="16"/>
      <c r="K67" s="27">
        <v>0</v>
      </c>
      <c r="L67" s="16"/>
      <c r="M67" s="16"/>
      <c r="N67" s="14"/>
    </row>
    <row r="68" spans="1:14" x14ac:dyDescent="0.15">
      <c r="A68" s="3" t="s">
        <v>22</v>
      </c>
      <c r="C68" s="22">
        <f>SUM(C66:C67)</f>
        <v>0</v>
      </c>
      <c r="D68" s="32"/>
      <c r="E68" s="22">
        <f>SUM(E66:E67)</f>
        <v>3000</v>
      </c>
      <c r="F68" s="32"/>
      <c r="G68" s="22">
        <f>SUM(G66:G67)</f>
        <v>0</v>
      </c>
      <c r="H68" s="32"/>
      <c r="I68" s="22">
        <f>SUM(I66:I67)</f>
        <v>0</v>
      </c>
      <c r="J68" s="32"/>
      <c r="K68" s="22">
        <f>SUM(K66:K67)</f>
        <v>0</v>
      </c>
      <c r="L68" s="16"/>
      <c r="M68" s="16"/>
      <c r="N68" s="38">
        <f>SUM(C68:M68)</f>
        <v>3000</v>
      </c>
    </row>
    <row r="69" spans="1:14" x14ac:dyDescent="0.15">
      <c r="C69" s="15"/>
      <c r="D69" s="16"/>
      <c r="E69" s="15"/>
      <c r="F69" s="16"/>
      <c r="G69" s="15"/>
      <c r="H69" s="16"/>
      <c r="I69" s="15"/>
      <c r="J69" s="16"/>
      <c r="K69" s="15"/>
      <c r="L69" s="16"/>
      <c r="M69" s="16"/>
      <c r="N69" s="20"/>
    </row>
    <row r="70" spans="1:14" x14ac:dyDescent="0.15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20"/>
    </row>
    <row r="71" spans="1:14" x14ac:dyDescent="0.15">
      <c r="A71" s="3" t="s">
        <v>23</v>
      </c>
      <c r="C71" s="15">
        <v>0</v>
      </c>
      <c r="D71" s="15"/>
      <c r="E71" s="15">
        <v>0</v>
      </c>
      <c r="F71" s="15"/>
      <c r="G71" s="15">
        <v>0</v>
      </c>
      <c r="H71" s="15"/>
      <c r="I71" s="15">
        <v>0</v>
      </c>
      <c r="J71" s="15"/>
      <c r="K71" s="15">
        <v>0</v>
      </c>
      <c r="L71" s="15"/>
      <c r="M71" s="15"/>
      <c r="N71" s="13"/>
    </row>
    <row r="72" spans="1:14" x14ac:dyDescent="0.15">
      <c r="A72" s="3" t="s">
        <v>50</v>
      </c>
      <c r="C72" s="15">
        <v>10830</v>
      </c>
      <c r="D72" s="15"/>
      <c r="E72" s="15">
        <v>10830</v>
      </c>
      <c r="F72" s="15"/>
      <c r="G72" s="15">
        <v>0</v>
      </c>
      <c r="H72" s="15"/>
      <c r="I72" s="15">
        <v>0</v>
      </c>
      <c r="J72" s="15"/>
      <c r="K72" s="15">
        <v>0</v>
      </c>
      <c r="L72" s="15"/>
      <c r="M72" s="15"/>
      <c r="N72" s="13"/>
    </row>
    <row r="73" spans="1:14" x14ac:dyDescent="0.15">
      <c r="C73" s="27"/>
      <c r="D73" s="16"/>
      <c r="E73" s="27"/>
      <c r="F73" s="16"/>
      <c r="G73" s="27"/>
      <c r="H73" s="16"/>
      <c r="I73" s="27"/>
      <c r="J73" s="16"/>
      <c r="K73" s="27"/>
      <c r="L73" s="16"/>
      <c r="M73" s="16"/>
      <c r="N73" s="14"/>
    </row>
    <row r="74" spans="1:14" x14ac:dyDescent="0.15">
      <c r="A74" s="3" t="s">
        <v>24</v>
      </c>
      <c r="C74" s="34">
        <f>SUM(C71:C73)</f>
        <v>10830</v>
      </c>
      <c r="D74" s="31"/>
      <c r="E74" s="34">
        <f>SUM(E71:E73)</f>
        <v>10830</v>
      </c>
      <c r="F74" s="31"/>
      <c r="G74" s="34">
        <f>SUM(G71:G73)</f>
        <v>0</v>
      </c>
      <c r="H74" s="31"/>
      <c r="I74" s="34">
        <f>SUM(I71:I73)</f>
        <v>0</v>
      </c>
      <c r="J74" s="31"/>
      <c r="K74" s="34">
        <f>SUM(K71:K73)</f>
        <v>0</v>
      </c>
      <c r="L74" s="31"/>
      <c r="M74" s="31"/>
      <c r="N74" s="35">
        <f>SUM(C74:M74)</f>
        <v>21660</v>
      </c>
    </row>
    <row r="75" spans="1:14" ht="13" thickBot="1" x14ac:dyDescent="0.2">
      <c r="C75" s="36"/>
      <c r="D75" s="31"/>
      <c r="E75" s="36"/>
      <c r="F75" s="31"/>
      <c r="G75" s="36"/>
      <c r="H75" s="31"/>
      <c r="I75" s="36"/>
      <c r="J75" s="31"/>
      <c r="K75" s="36"/>
      <c r="L75" s="31"/>
      <c r="M75" s="31"/>
      <c r="N75" s="37"/>
    </row>
    <row r="76" spans="1:14" x14ac:dyDescent="0.15">
      <c r="A76" s="9" t="s">
        <v>25</v>
      </c>
      <c r="C76" s="22">
        <f>C68+C74</f>
        <v>10830</v>
      </c>
      <c r="D76" s="31"/>
      <c r="E76" s="22">
        <f>E68+E74</f>
        <v>13830</v>
      </c>
      <c r="F76" s="31"/>
      <c r="G76" s="22">
        <f>G68+G74</f>
        <v>0</v>
      </c>
      <c r="H76" s="31"/>
      <c r="I76" s="22">
        <f>I68+I74</f>
        <v>0</v>
      </c>
      <c r="J76" s="31"/>
      <c r="K76" s="22">
        <f>K68+K74</f>
        <v>0</v>
      </c>
      <c r="L76" s="31"/>
      <c r="M76" s="31"/>
      <c r="N76" s="12">
        <f>SUM(C76:K76)</f>
        <v>24660</v>
      </c>
    </row>
    <row r="77" spans="1:14" customFormat="1" ht="15" x14ac:dyDescent="0.2">
      <c r="A77" s="3"/>
      <c r="B77" s="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3"/>
    </row>
    <row r="78" spans="1:14" x14ac:dyDescent="0.15">
      <c r="C78" s="15"/>
      <c r="D78" s="15"/>
      <c r="E78" s="15"/>
      <c r="F78" s="15"/>
      <c r="G78" s="15"/>
      <c r="H78" s="15"/>
      <c r="I78" s="15"/>
      <c r="J78" s="15"/>
    </row>
    <row r="79" spans="1:14" x14ac:dyDescent="0.15">
      <c r="C79" s="15"/>
      <c r="D79" s="15"/>
      <c r="E79" s="15"/>
      <c r="F79" s="15"/>
      <c r="G79" s="15"/>
      <c r="H79" s="15"/>
      <c r="I79" s="15"/>
      <c r="J79" s="15"/>
    </row>
    <row r="80" spans="1:14" x14ac:dyDescent="0.15">
      <c r="C80" s="16"/>
      <c r="D80" s="16"/>
      <c r="E80" s="16"/>
      <c r="F80" s="16"/>
      <c r="G80" s="16"/>
      <c r="H80" s="16"/>
      <c r="I80" s="16"/>
      <c r="J80" s="16"/>
    </row>
    <row r="81" spans="1:10" x14ac:dyDescent="0.15">
      <c r="A81" s="9"/>
      <c r="C81" s="16"/>
      <c r="D81" s="16"/>
      <c r="E81" s="16"/>
      <c r="F81" s="16"/>
      <c r="G81" s="16"/>
      <c r="H81" s="16"/>
      <c r="I81" s="16"/>
      <c r="J81" s="16"/>
    </row>
    <row r="82" spans="1:10" x14ac:dyDescent="0.15">
      <c r="C82" s="16"/>
      <c r="D82" s="16"/>
      <c r="E82" s="16"/>
      <c r="F82" s="16"/>
      <c r="G82" s="16"/>
      <c r="H82" s="16"/>
      <c r="I82" s="16"/>
      <c r="J82" s="16"/>
    </row>
    <row r="83" spans="1:10" x14ac:dyDescent="0.15">
      <c r="C83" s="15"/>
      <c r="D83" s="15"/>
      <c r="E83" s="15"/>
      <c r="F83" s="15"/>
      <c r="G83" s="15"/>
      <c r="H83" s="15"/>
      <c r="I83" s="15"/>
      <c r="J83" s="15"/>
    </row>
    <row r="84" spans="1:10" x14ac:dyDescent="0.15">
      <c r="C84" s="15"/>
      <c r="D84" s="15"/>
    </row>
    <row r="85" spans="1:10" x14ac:dyDescent="0.15">
      <c r="C85" s="15"/>
      <c r="D85" s="15"/>
    </row>
    <row r="86" spans="1:10" x14ac:dyDescent="0.15">
      <c r="C86" s="15"/>
      <c r="D86" s="15"/>
    </row>
    <row r="87" spans="1:10" x14ac:dyDescent="0.15">
      <c r="C87" s="15"/>
      <c r="D87" s="15"/>
    </row>
  </sheetData>
  <pageMargins left="0.7" right="0.7" top="0.75" bottom="0.75" header="0.3" footer="0.3"/>
  <pageSetup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05C8D0A812FD46997CF1DA4C6DDBAC" ma:contentTypeVersion="13" ma:contentTypeDescription="Create a new document." ma:contentTypeScope="" ma:versionID="a4dfd7d24f655301a422a818bcd06357">
  <xsd:schema xmlns:xsd="http://www.w3.org/2001/XMLSchema" xmlns:xs="http://www.w3.org/2001/XMLSchema" xmlns:p="http://schemas.microsoft.com/office/2006/metadata/properties" xmlns:ns2="76113ae7-9ce7-446e-a787-0d093d24e560" xmlns:ns3="ceac373f-6146-45e8-ae86-e46962515fd1" targetNamespace="http://schemas.microsoft.com/office/2006/metadata/properties" ma:root="true" ma:fieldsID="c923012313eec26799cf4760081f1bc2" ns2:_="" ns3:_="">
    <xsd:import namespace="76113ae7-9ce7-446e-a787-0d093d24e560"/>
    <xsd:import namespace="ceac373f-6146-45e8-ae86-e46962515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13ae7-9ce7-446e-a787-0d093d24e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8a84e2d-2907-4229-a883-5d2e5f444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c373f-6146-45e8-ae86-e46962515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142de0-8c0b-42f7-9f53-0e90ab70253b}" ma:internalName="TaxCatchAll" ma:showField="CatchAllData" ma:web="ceac373f-6146-45e8-ae86-e46962515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13ae7-9ce7-446e-a787-0d093d24e560">
      <Terms xmlns="http://schemas.microsoft.com/office/infopath/2007/PartnerControls"/>
    </lcf76f155ced4ddcb4097134ff3c332f>
    <TaxCatchAll xmlns="ceac373f-6146-45e8-ae86-e46962515f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B9E642-163E-4B9A-A80B-A3237ED6D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13ae7-9ce7-446e-a787-0d093d24e560"/>
    <ds:schemaRef ds:uri="ceac373f-6146-45e8-ae86-e46962515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B8AD62-9EC0-4526-A4B8-D9D127EA0803}">
  <ds:schemaRefs>
    <ds:schemaRef ds:uri="76113ae7-9ce7-446e-a787-0d093d24e560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ceac373f-6146-45e8-ae86-e46962515fd1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1CC63F4-DF3F-4C65-9E8F-7AAF29E729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Template </vt:lpstr>
    </vt:vector>
  </TitlesOfParts>
  <Company>Woods Hole Oceanographic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</dc:creator>
  <cp:lastModifiedBy>Melissa Cronin</cp:lastModifiedBy>
  <dcterms:created xsi:type="dcterms:W3CDTF">2014-12-18T16:40:44Z</dcterms:created>
  <dcterms:modified xsi:type="dcterms:W3CDTF">2025-12-09T18:43:30Z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0x010100AD05C8D0A812FD46997CF1DA4C6DDBAC</vt:lpwstr>
  </property>
  <property fmtid="{D5CDD505-2E9C-101B-9397-08002B2CF9AE}" pid="3" name="MediaServiceImageTags">
    <vt:lpwstr/>
  </property>
</Properties>
</file>